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6AB215CC-F46B-4EFD-964C-4E44F8ABC4D5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9" i="1"/>
  <c r="H11" i="1"/>
  <c r="H10" i="1"/>
  <c r="H4" i="1" l="1"/>
  <c r="J4" i="1"/>
</calcChain>
</file>

<file path=xl/sharedStrings.xml><?xml version="1.0" encoding="utf-8"?>
<sst xmlns="http://schemas.openxmlformats.org/spreadsheetml/2006/main" count="144" uniqueCount="87">
  <si>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</si>
  <si>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</si>
  <si>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</si>
  <si>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</si>
  <si>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</si>
  <si>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</si>
  <si>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</si>
  <si>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</si>
  <si>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</si>
  <si>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</si>
  <si>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</si>
  <si>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</si>
  <si>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</si>
  <si>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</si>
  <si>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</si>
  <si>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</si>
  <si>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</si>
  <si>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</si>
  <si>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</si>
  <si>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</si>
  <si>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</si>
  <si>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</si>
  <si>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</si>
  <si>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</si>
  <si>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</si>
  <si>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</si>
  <si>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</si>
  <si>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</si>
  <si>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</si>
  <si>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ー　アイテムの当たり判定</t>
    <rPh sb="8" eb="9">
      <t>ア</t>
    </rPh>
    <rPh sb="11" eb="13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</si>
  <si>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</si>
  <si>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</si>
  <si>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</si>
  <si>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</si>
  <si>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</si>
  <si>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</si>
  <si>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</si>
  <si>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</si>
  <si>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</si>
  <si>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</si>
  <si>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</si>
  <si>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</si>
  <si>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</si>
  <si>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</si>
  <si>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</si>
  <si>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</si>
  <si>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</si>
  <si>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</si>
  <si>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</si>
  <si>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</si>
  <si>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</si>
  <si>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</si>
  <si>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</si>
  <si>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</si>
  <si>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</si>
  <si>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</si>
  <si>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</si>
  <si>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</si>
  <si>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</si>
  <si>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</si>
  <si>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</si>
  <si>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</si>
  <si>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</si>
  <si>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</si>
  <si>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</si>
  <si>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</si>
  <si>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</si>
  <si>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</si>
  <si>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</si>
  <si>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</si>
  <si>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</si>
  <si>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</si>
  <si>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</si>
  <si>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</si>
  <si>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</si>
  <si>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</si>
  <si>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</si>
  <si>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</si>
  <si>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</si>
  <si>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</si>
  <si>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</si>
  <si>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</si>
  <si>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</si>
  <si>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</si>
  <si>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</si>
  <si>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</si>
  <si>
    <t>実コスト/日数</t>
    <rPh sb="0" eb="1">
      <t>ジツ</t>
    </rPh>
    <rPh sb="5" eb="7">
      <t>ニッスウ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</si>
</sst>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11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2" borderId="1" xfId="0" applyFill="1" applyBorder="1"/>
    <xf numFmtId="0" fontId="0" fillId="4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zoomScale="70" zoomScaleNormal="70" workbookViewId="0">
      <selection activeCell="A67" sqref="A67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8.875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  <col min="9" max="9" width="13.125" customWidth="1"/>
  </cols>
  <sheetData>
    <row r="1" spans="1:10">
      <c r="A1" s="12" t="s">
        <v>0</v>
      </c>
      <c r="B1" s="12"/>
      <c r="C1" s="12"/>
    </row>
    <row r="2" spans="1:10">
      <c r="A2" s="13" t="s">
        <v>1</v>
      </c>
      <c r="B2" s="14" t="s">
        <v>2</v>
      </c>
      <c r="C2" s="15" t="s">
        <v>3</v>
      </c>
      <c r="D2" s="20" t="s">
        <v>85</v>
      </c>
      <c r="E2" s="3" t="s">
        <v>4</v>
      </c>
      <c r="F2">
        <f>SUM(B3:B302)</f>
        <v>148</v>
      </c>
    </row>
    <row r="3" spans="1:10">
      <c r="A3" s="16" t="s">
        <v>5</v>
      </c>
      <c r="B3" s="12">
        <v>6</v>
      </c>
      <c r="C3" s="12" t="s">
        <v>6</v>
      </c>
      <c r="D3" s="12"/>
      <c r="E3" s="5" t="s">
        <v>7</v>
      </c>
      <c r="F3">
        <f>SUMIF(C3:C302,"完了",B3:B302)</f>
        <v>31</v>
      </c>
      <c r="G3" s="2" t="s">
        <v>85</v>
      </c>
      <c r="H3">
        <f>SUM(D3:D302)</f>
        <v>40</v>
      </c>
    </row>
    <row r="4" spans="1:10">
      <c r="A4" s="16" t="s">
        <v>8</v>
      </c>
      <c r="B4" s="12">
        <v>4</v>
      </c>
      <c r="C4" s="12" t="s">
        <v>6</v>
      </c>
      <c r="D4" s="12"/>
      <c r="E4" s="4" t="s">
        <v>9</v>
      </c>
      <c r="F4" s="7">
        <f ca="1">NETWORKDAYS(F5,F6)</f>
        <v>23</v>
      </c>
      <c r="G4" s="21" t="s">
        <v>10</v>
      </c>
      <c r="H4" s="10">
        <f ca="1" xml:space="preserve"> F3 / F4</f>
        <v>1.3478260869565217</v>
      </c>
      <c r="I4" s="21" t="s">
        <v>86</v>
      </c>
      <c r="J4">
        <f ca="1">H3/F4</f>
        <v>1.7391304347826086</v>
      </c>
    </row>
    <row r="5" spans="1:10">
      <c r="A5" s="17" t="s">
        <v>11</v>
      </c>
      <c r="B5" s="17"/>
      <c r="C5" s="17"/>
      <c r="D5" s="12"/>
      <c r="E5" s="6" t="s">
        <v>12</v>
      </c>
      <c r="F5" s="8">
        <f>DATE(2024,10,22)</f>
        <v>45587</v>
      </c>
    </row>
    <row r="6" spans="1:10">
      <c r="A6" s="12" t="s">
        <v>13</v>
      </c>
      <c r="B6" s="12">
        <v>2</v>
      </c>
      <c r="C6" s="12" t="s">
        <v>84</v>
      </c>
      <c r="D6" s="12">
        <v>3</v>
      </c>
      <c r="E6" s="9" t="s">
        <v>14</v>
      </c>
      <c r="F6" s="8">
        <f ca="1">TODAY()</f>
        <v>45617</v>
      </c>
    </row>
    <row r="7" spans="1:10">
      <c r="A7" s="12" t="s">
        <v>15</v>
      </c>
      <c r="B7" s="12">
        <v>6</v>
      </c>
      <c r="C7" s="12" t="s">
        <v>6</v>
      </c>
      <c r="D7" s="12"/>
    </row>
    <row r="8" spans="1:10">
      <c r="A8" s="12" t="s">
        <v>16</v>
      </c>
      <c r="B8" s="12">
        <v>1</v>
      </c>
      <c r="C8" s="12" t="s">
        <v>6</v>
      </c>
      <c r="D8" s="12"/>
      <c r="G8" t="s">
        <v>17</v>
      </c>
      <c r="H8" t="s">
        <v>18</v>
      </c>
    </row>
    <row r="9" spans="1:10">
      <c r="A9" s="12" t="s">
        <v>19</v>
      </c>
      <c r="B9" s="12">
        <v>1</v>
      </c>
      <c r="C9" s="12" t="s">
        <v>6</v>
      </c>
      <c r="D9" s="12"/>
      <c r="E9" s="3" t="s">
        <v>20</v>
      </c>
      <c r="F9" s="1">
        <v>45689</v>
      </c>
      <c r="G9" s="7">
        <f ca="1">NETWORKDAYS(TODAY(),F9)</f>
        <v>52</v>
      </c>
      <c r="H9" s="10">
        <f ca="1">($F$2 - $F$3) / G9</f>
        <v>2.25</v>
      </c>
    </row>
    <row r="10" spans="1:10">
      <c r="A10" s="12" t="s">
        <v>21</v>
      </c>
      <c r="B10" s="12">
        <v>1</v>
      </c>
      <c r="C10" s="12" t="s">
        <v>6</v>
      </c>
      <c r="D10" s="12"/>
      <c r="E10" s="2" t="s">
        <v>22</v>
      </c>
      <c r="F10" s="1">
        <f>DATE(2025,3,1)</f>
        <v>45717</v>
      </c>
      <c r="G10" s="7">
        <f t="shared" ref="G10:G11" ca="1" si="0">NETWORKDAYS(TODAY(),F10)</f>
        <v>72</v>
      </c>
      <c r="H10" s="10">
        <f ca="1">($F$2 - $F$3) / G10</f>
        <v>1.625</v>
      </c>
    </row>
    <row r="11" spans="1:10">
      <c r="A11" s="12" t="s">
        <v>23</v>
      </c>
      <c r="B11" s="12">
        <v>2</v>
      </c>
      <c r="C11" s="12" t="s">
        <v>84</v>
      </c>
      <c r="D11" s="12">
        <v>2</v>
      </c>
      <c r="E11" s="4" t="s">
        <v>24</v>
      </c>
      <c r="F11" s="1">
        <v>45748</v>
      </c>
      <c r="G11" s="7">
        <f t="shared" ca="1" si="0"/>
        <v>94</v>
      </c>
      <c r="H11" s="10">
        <f ca="1">($F$2 - $F$3) / G11</f>
        <v>1.2446808510638299</v>
      </c>
    </row>
    <row r="12" spans="1:10">
      <c r="A12" s="12" t="s">
        <v>25</v>
      </c>
      <c r="B12" s="12">
        <v>3</v>
      </c>
      <c r="C12" s="12" t="s">
        <v>6</v>
      </c>
      <c r="D12" s="12"/>
    </row>
    <row r="13" spans="1:10">
      <c r="A13" s="17" t="s">
        <v>26</v>
      </c>
      <c r="B13" s="17"/>
      <c r="C13" s="17"/>
      <c r="D13" s="12"/>
    </row>
    <row r="14" spans="1:10">
      <c r="A14" s="12" t="s">
        <v>27</v>
      </c>
      <c r="B14" s="12">
        <v>0.5</v>
      </c>
      <c r="C14" s="12" t="s">
        <v>6</v>
      </c>
      <c r="D14" s="12"/>
    </row>
    <row r="15" spans="1:10">
      <c r="A15" s="12" t="s">
        <v>28</v>
      </c>
      <c r="B15" s="12">
        <v>0.5</v>
      </c>
      <c r="C15" s="12" t="s">
        <v>84</v>
      </c>
      <c r="D15" s="12">
        <v>0.5</v>
      </c>
    </row>
    <row r="16" spans="1:10">
      <c r="A16" s="12" t="s">
        <v>29</v>
      </c>
      <c r="B16" s="12">
        <v>0.5</v>
      </c>
      <c r="C16" s="12" t="s">
        <v>6</v>
      </c>
      <c r="D16" s="12"/>
    </row>
    <row r="17" spans="1:4">
      <c r="A17" s="12" t="s">
        <v>30</v>
      </c>
      <c r="B17" s="12">
        <v>0.5</v>
      </c>
      <c r="C17" s="12" t="s">
        <v>84</v>
      </c>
      <c r="D17" s="12">
        <v>0.5</v>
      </c>
    </row>
    <row r="18" spans="1:4">
      <c r="A18" s="17" t="s">
        <v>31</v>
      </c>
      <c r="B18" s="17"/>
      <c r="C18" s="17"/>
      <c r="D18" s="12"/>
    </row>
    <row r="19" spans="1:4">
      <c r="A19" s="12" t="s">
        <v>32</v>
      </c>
      <c r="B19" s="12">
        <v>2</v>
      </c>
      <c r="C19" s="12" t="s">
        <v>6</v>
      </c>
      <c r="D19" s="12"/>
    </row>
    <row r="20" spans="1:4">
      <c r="A20" s="12" t="s">
        <v>33</v>
      </c>
      <c r="B20" s="12">
        <v>1</v>
      </c>
      <c r="C20" s="12" t="s">
        <v>84</v>
      </c>
      <c r="D20" s="12">
        <v>1.5</v>
      </c>
    </row>
    <row r="21" spans="1:4">
      <c r="A21" s="12" t="s">
        <v>34</v>
      </c>
      <c r="B21" s="12">
        <v>4</v>
      </c>
      <c r="C21" s="12" t="s">
        <v>84</v>
      </c>
      <c r="D21" s="12">
        <v>6</v>
      </c>
    </row>
    <row r="22" spans="1:4">
      <c r="A22" s="12" t="s">
        <v>35</v>
      </c>
      <c r="B22" s="12">
        <v>1</v>
      </c>
      <c r="C22" s="12" t="s">
        <v>6</v>
      </c>
      <c r="D22" s="12"/>
    </row>
    <row r="23" spans="1:4">
      <c r="A23" s="12" t="s">
        <v>36</v>
      </c>
      <c r="B23" s="12">
        <v>1</v>
      </c>
      <c r="C23" s="12" t="s">
        <v>6</v>
      </c>
      <c r="D23" s="12"/>
    </row>
    <row r="24" spans="1:4">
      <c r="A24" s="12" t="s">
        <v>37</v>
      </c>
      <c r="B24" s="12">
        <v>4</v>
      </c>
      <c r="C24" s="12" t="s">
        <v>6</v>
      </c>
      <c r="D24" s="12"/>
    </row>
    <row r="25" spans="1:4">
      <c r="A25" s="12" t="s">
        <v>38</v>
      </c>
      <c r="B25" s="12">
        <v>4</v>
      </c>
      <c r="C25" s="12" t="s">
        <v>84</v>
      </c>
      <c r="D25" s="12">
        <v>4</v>
      </c>
    </row>
    <row r="26" spans="1:4">
      <c r="A26" s="12" t="s">
        <v>39</v>
      </c>
      <c r="B26" s="12">
        <v>4</v>
      </c>
      <c r="C26" s="12" t="s">
        <v>6</v>
      </c>
      <c r="D26" s="12"/>
    </row>
    <row r="27" spans="1:4">
      <c r="A27" s="12" t="s">
        <v>40</v>
      </c>
      <c r="B27" s="12">
        <v>2</v>
      </c>
      <c r="C27" s="12" t="s">
        <v>6</v>
      </c>
      <c r="D27" s="12"/>
    </row>
    <row r="28" spans="1:4">
      <c r="A28" s="12" t="s">
        <v>41</v>
      </c>
      <c r="B28" s="12">
        <v>1</v>
      </c>
      <c r="C28" s="12" t="s">
        <v>6</v>
      </c>
      <c r="D28" s="12"/>
    </row>
    <row r="29" spans="1:4">
      <c r="A29" s="17" t="s">
        <v>42</v>
      </c>
      <c r="B29" s="17"/>
      <c r="C29" s="17"/>
      <c r="D29" s="12"/>
    </row>
    <row r="30" spans="1:4">
      <c r="A30" s="12" t="s">
        <v>43</v>
      </c>
      <c r="B30" s="12">
        <v>2</v>
      </c>
      <c r="C30" s="12" t="s">
        <v>84</v>
      </c>
      <c r="D30" s="12">
        <v>2</v>
      </c>
    </row>
    <row r="31" spans="1:4">
      <c r="A31" s="12" t="s">
        <v>33</v>
      </c>
      <c r="B31" s="12">
        <v>1</v>
      </c>
      <c r="C31" s="12" t="s">
        <v>6</v>
      </c>
      <c r="D31" s="12"/>
    </row>
    <row r="32" spans="1:4">
      <c r="A32" s="12" t="s">
        <v>44</v>
      </c>
      <c r="B32" s="12">
        <v>4</v>
      </c>
      <c r="C32" s="12" t="s">
        <v>6</v>
      </c>
      <c r="D32" s="12"/>
    </row>
    <row r="33" spans="1:4">
      <c r="A33" s="12" t="s">
        <v>45</v>
      </c>
      <c r="B33" s="12">
        <v>6</v>
      </c>
      <c r="C33" s="12" t="s">
        <v>6</v>
      </c>
      <c r="D33" s="12"/>
    </row>
    <row r="34" spans="1:4">
      <c r="A34" s="12" t="s">
        <v>46</v>
      </c>
      <c r="B34" s="12">
        <v>2</v>
      </c>
      <c r="C34" s="12" t="s">
        <v>6</v>
      </c>
      <c r="D34" s="12"/>
    </row>
    <row r="35" spans="1:4">
      <c r="A35" s="17" t="s">
        <v>47</v>
      </c>
      <c r="B35" s="17"/>
      <c r="C35" s="17"/>
      <c r="D35" s="12"/>
    </row>
    <row r="36" spans="1:4">
      <c r="A36" s="12" t="s">
        <v>48</v>
      </c>
      <c r="B36" s="12">
        <v>1</v>
      </c>
      <c r="C36" s="12" t="s">
        <v>84</v>
      </c>
      <c r="D36" s="12">
        <v>1.5</v>
      </c>
    </row>
    <row r="37" spans="1:4">
      <c r="A37" s="12" t="s">
        <v>49</v>
      </c>
      <c r="B37" s="12">
        <v>1</v>
      </c>
      <c r="C37" s="12" t="s">
        <v>84</v>
      </c>
      <c r="D37" s="12">
        <v>6</v>
      </c>
    </row>
    <row r="38" spans="1:4">
      <c r="A38" s="12" t="s">
        <v>50</v>
      </c>
      <c r="B38" s="12">
        <v>1</v>
      </c>
      <c r="C38" s="12" t="s">
        <v>84</v>
      </c>
      <c r="D38" s="12">
        <v>1</v>
      </c>
    </row>
    <row r="39" spans="1:4">
      <c r="A39" s="12" t="s">
        <v>51</v>
      </c>
      <c r="B39" s="12">
        <v>1</v>
      </c>
      <c r="C39" s="12" t="s">
        <v>6</v>
      </c>
      <c r="D39" s="12"/>
    </row>
    <row r="40" spans="1:4">
      <c r="A40" s="17" t="s">
        <v>52</v>
      </c>
      <c r="B40" s="17"/>
      <c r="C40" s="17"/>
      <c r="D40" s="12"/>
    </row>
    <row r="41" spans="1:4">
      <c r="A41" s="12" t="s">
        <v>53</v>
      </c>
      <c r="B41" s="12">
        <v>8</v>
      </c>
      <c r="C41" s="12" t="s">
        <v>84</v>
      </c>
      <c r="D41" s="12">
        <v>8</v>
      </c>
    </row>
    <row r="42" spans="1:4">
      <c r="A42" s="12" t="s">
        <v>54</v>
      </c>
      <c r="B42" s="12">
        <v>4</v>
      </c>
      <c r="C42" s="12" t="s">
        <v>6</v>
      </c>
      <c r="D42" s="12"/>
    </row>
    <row r="43" spans="1:4">
      <c r="A43" s="12" t="s">
        <v>55</v>
      </c>
      <c r="B43" s="12">
        <v>4</v>
      </c>
      <c r="C43" s="12" t="s">
        <v>84</v>
      </c>
      <c r="D43" s="12">
        <v>4</v>
      </c>
    </row>
    <row r="44" spans="1:4">
      <c r="A44" s="17" t="s">
        <v>56</v>
      </c>
      <c r="B44" s="17"/>
      <c r="C44" s="17"/>
      <c r="D44" s="12"/>
    </row>
    <row r="45" spans="1:4">
      <c r="A45" s="12" t="s">
        <v>57</v>
      </c>
      <c r="B45" s="12">
        <v>0.5</v>
      </c>
      <c r="C45" s="12" t="s">
        <v>6</v>
      </c>
      <c r="D45" s="12"/>
    </row>
    <row r="46" spans="1:4">
      <c r="A46" s="12" t="s">
        <v>58</v>
      </c>
      <c r="B46" s="12">
        <v>0.5</v>
      </c>
      <c r="C46" s="12" t="s">
        <v>6</v>
      </c>
      <c r="D46" s="12"/>
    </row>
    <row r="47" spans="1:4">
      <c r="A47" s="12" t="s">
        <v>59</v>
      </c>
      <c r="B47" s="12">
        <v>0.5</v>
      </c>
      <c r="C47" s="12" t="s">
        <v>6</v>
      </c>
      <c r="D47" s="12"/>
    </row>
    <row r="48" spans="1:4">
      <c r="A48" s="17" t="s">
        <v>60</v>
      </c>
      <c r="B48" s="17"/>
      <c r="C48" s="17"/>
      <c r="D48" s="12"/>
    </row>
    <row r="49" spans="1:4">
      <c r="A49" s="12" t="s">
        <v>61</v>
      </c>
      <c r="B49" s="12">
        <v>2</v>
      </c>
      <c r="C49" s="12" t="s">
        <v>6</v>
      </c>
      <c r="D49" s="12"/>
    </row>
    <row r="50" spans="1:4">
      <c r="A50" s="12" t="s">
        <v>62</v>
      </c>
      <c r="B50" s="12">
        <v>2</v>
      </c>
      <c r="C50" s="12" t="s">
        <v>6</v>
      </c>
      <c r="D50" s="12"/>
    </row>
    <row r="51" spans="1:4">
      <c r="A51" s="12" t="s">
        <v>63</v>
      </c>
      <c r="B51" s="12">
        <v>2</v>
      </c>
      <c r="C51" s="12" t="s">
        <v>6</v>
      </c>
      <c r="D51" s="12"/>
    </row>
    <row r="52" spans="1:4">
      <c r="A52" s="12" t="s">
        <v>64</v>
      </c>
      <c r="B52" s="12">
        <v>2</v>
      </c>
      <c r="C52" s="12" t="s">
        <v>6</v>
      </c>
      <c r="D52" s="12"/>
    </row>
    <row r="53" spans="1:4">
      <c r="A53" s="17" t="s">
        <v>65</v>
      </c>
      <c r="B53" s="17"/>
      <c r="C53" s="17"/>
      <c r="D53" s="12"/>
    </row>
    <row r="54" spans="1:4">
      <c r="A54" s="12" t="s">
        <v>66</v>
      </c>
      <c r="B54" s="12">
        <v>0.5</v>
      </c>
      <c r="C54" s="12" t="s">
        <v>6</v>
      </c>
      <c r="D54" s="12"/>
    </row>
    <row r="55" spans="1:4">
      <c r="A55" s="12" t="s">
        <v>67</v>
      </c>
      <c r="B55" s="12">
        <v>4</v>
      </c>
      <c r="C55" s="12" t="s">
        <v>6</v>
      </c>
      <c r="D55" s="12"/>
    </row>
    <row r="56" spans="1:4">
      <c r="A56" s="17" t="s">
        <v>68</v>
      </c>
      <c r="B56" s="17"/>
      <c r="C56" s="17"/>
      <c r="D56" s="12"/>
    </row>
    <row r="57" spans="1:4">
      <c r="A57" s="12" t="s">
        <v>69</v>
      </c>
      <c r="B57" s="12">
        <v>2</v>
      </c>
      <c r="C57" s="12" t="s">
        <v>6</v>
      </c>
      <c r="D57" s="12"/>
    </row>
    <row r="58" spans="1:4">
      <c r="A58" s="12" t="s">
        <v>70</v>
      </c>
      <c r="B58" s="12">
        <v>2</v>
      </c>
      <c r="C58" s="12" t="s">
        <v>6</v>
      </c>
      <c r="D58" s="12"/>
    </row>
    <row r="59" spans="1:4">
      <c r="A59" s="12" t="s">
        <v>71</v>
      </c>
      <c r="B59" s="12">
        <v>2</v>
      </c>
      <c r="C59" s="12" t="s">
        <v>6</v>
      </c>
      <c r="D59" s="12"/>
    </row>
    <row r="60" spans="1:4">
      <c r="A60" s="17" t="s">
        <v>72</v>
      </c>
      <c r="B60" s="17"/>
      <c r="C60" s="17"/>
      <c r="D60" s="12"/>
    </row>
    <row r="61" spans="1:4">
      <c r="A61" s="12" t="s">
        <v>73</v>
      </c>
      <c r="B61" s="12">
        <v>6</v>
      </c>
      <c r="C61" s="12" t="s">
        <v>6</v>
      </c>
      <c r="D61" s="12"/>
    </row>
    <row r="62" spans="1:4">
      <c r="A62" s="12" t="s">
        <v>74</v>
      </c>
      <c r="B62" s="12">
        <v>6</v>
      </c>
      <c r="C62" s="12" t="s">
        <v>6</v>
      </c>
      <c r="D62" s="12"/>
    </row>
    <row r="63" spans="1:4">
      <c r="A63" s="12" t="s">
        <v>75</v>
      </c>
      <c r="B63" s="12">
        <v>6</v>
      </c>
      <c r="C63" s="12" t="s">
        <v>6</v>
      </c>
      <c r="D63" s="12"/>
    </row>
    <row r="64" spans="1:4">
      <c r="A64" s="12" t="s">
        <v>76</v>
      </c>
      <c r="B64" s="12">
        <v>12</v>
      </c>
      <c r="C64" s="12" t="s">
        <v>6</v>
      </c>
      <c r="D64" s="12"/>
    </row>
    <row r="65" spans="1:6">
      <c r="A65" s="18" t="s">
        <v>77</v>
      </c>
      <c r="B65" s="18"/>
      <c r="C65" s="18"/>
      <c r="D65" s="12"/>
    </row>
    <row r="66" spans="1:6">
      <c r="A66" s="12" t="s">
        <v>78</v>
      </c>
      <c r="B66" s="12">
        <v>2</v>
      </c>
      <c r="C66" s="12" t="s">
        <v>6</v>
      </c>
      <c r="D66" s="12"/>
      <c r="F66" s="1"/>
    </row>
    <row r="67" spans="1:6">
      <c r="A67" s="12" t="s">
        <v>79</v>
      </c>
      <c r="B67" s="12">
        <v>1</v>
      </c>
      <c r="C67" s="12" t="s">
        <v>6</v>
      </c>
      <c r="D67" s="12"/>
      <c r="F67" s="1"/>
    </row>
    <row r="68" spans="1:6">
      <c r="A68" s="12" t="s">
        <v>80</v>
      </c>
      <c r="B68" s="12">
        <v>2</v>
      </c>
      <c r="C68" s="12" t="s">
        <v>6</v>
      </c>
      <c r="D68" s="12"/>
      <c r="F68" s="1"/>
    </row>
    <row r="69" spans="1:6">
      <c r="A69" s="12" t="s">
        <v>81</v>
      </c>
      <c r="B69" s="12">
        <v>2</v>
      </c>
      <c r="C69" s="12" t="s">
        <v>6</v>
      </c>
      <c r="D69" s="12"/>
      <c r="F69" s="1"/>
    </row>
    <row r="70" spans="1:6">
      <c r="A70" s="19" t="s">
        <v>82</v>
      </c>
      <c r="B70" s="19">
        <v>1</v>
      </c>
      <c r="C70" s="19" t="s">
        <v>6</v>
      </c>
      <c r="D70" s="12"/>
    </row>
    <row r="71" spans="1:6">
      <c r="A71" s="18" t="s">
        <v>83</v>
      </c>
      <c r="B71" s="12">
        <v>3</v>
      </c>
      <c r="C71" s="12" t="s">
        <v>6</v>
      </c>
      <c r="D71" s="12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2024-11-21T06:29:08Z</dcterms:modified>
  <cp:category/>
  <cp:contentStatus/>
</cp:coreProperties>
</file>